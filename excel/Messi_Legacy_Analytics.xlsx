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ub Stats" sheetId="1" state="visible" r:id="rId3"/>
    <sheet name="Club Comparison" sheetId="2" state="visible" r:id="rId4"/>
    <sheet name="International Stats" sheetId="3" state="visible" r:id="rId5"/>
    <sheet name="Creative Insigh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<sst xmlns="http://schemas.openxmlformats.org/spreadsheetml/2006/main" count="179" uniqueCount="84">
  <si>
    <t xml:space="preserve">Season</t>
  </si>
  <si>
    <t xml:space="preserve">Club</t>
  </si>
  <si>
    <t xml:space="preserve">Competition Scope</t>
  </si>
  <si>
    <t xml:space="preserve">League</t>
  </si>
  <si>
    <t xml:space="preserve">Appearances</t>
  </si>
  <si>
    <t xml:space="preserve">Goals</t>
  </si>
  <si>
    <t xml:space="preserve">Assists</t>
  </si>
  <si>
    <t xml:space="preserve">Trophies Won</t>
  </si>
  <si>
    <t xml:space="preserve">Approx Age</t>
  </si>
  <si>
    <t xml:space="preserve">2004-05</t>
  </si>
  <si>
    <t xml:space="preserve">FC Barcelona</t>
  </si>
  <si>
    <t xml:space="preserve">All competitions</t>
  </si>
  <si>
    <t xml:space="preserve">La Liga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</si>
  <si>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</si>
  <si>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</si>
  <si>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</si>
  <si>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</si>
  <si>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</si>
  <si>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</si>
  <si>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</si>
  <si>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</si>
  <si>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</si>
  <si>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</si>
  <si>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</si>
  <si>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</si>
  <si>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</si>
  <si>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</si>
  <si>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</si>
  <si>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</si>
  <si>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</si>
  <si>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t xml:space="preserve">Paris Saint-Germain</t>
  </si>
  <si>
    <t xml:space="preserve">Ligue 1</t>
  </si>
  <si>
    <t xml:space="preserve">2022-23</t>
  </si>
  <si>
    <t xml:space="preserve">2023</t>
  </si>
  <si>
    <t xml:space="preserve">Inter Miami CF</t>
  </si>
  <si>
    <t xml:space="preserve">MLS</t>
  </si>
  <si>
    <t xml:space="preserve">2024</t>
  </si>
  <si>
    <t xml:space="preserve">2025</t>
  </si>
  <si>
    <t xml:space="preserve">2026</t>
  </si>
  <si>
    <t xml:space="preserve">TOTALS</t>
  </si>
  <si>
    <t xml:space="preserve">Total Goals</t>
  </si>
  <si>
    <t xml:space="preserve">Total Assists</t>
  </si>
  <si>
    <t xml:space="preserve">Total Appearances</t>
  </si>
  <si>
    <t xml:space="preserve">Total Trophies</t>
  </si>
  <si>
    <t xml:space="preserve">Goals per Appearance</t>
  </si>
  <si>
    <t xml:space="preserve">Seasons</t>
  </si>
  <si>
    <t xml:space="preserve">Year</t>
  </si>
  <si>
    <t xml:space="preserve">Tournament</t>
  </si>
  <si>
    <t xml:space="preserve">Result</t>
  </si>
  <si>
    <t xml:space="preserve">Individual Award</t>
  </si>
  <si>
    <t xml:space="preserve">WC Goals Helper</t>
  </si>
  <si>
    <t xml:space="preserve">Senior debut / early caps</t>
  </si>
  <si>
    <t xml:space="preserve">-</t>
  </si>
  <si>
    <t xml:space="preserve">FIFA World Cup</t>
  </si>
  <si>
    <t xml:space="preserve">Quarter-final</t>
  </si>
  <si>
    <t xml:space="preserve">Copa America</t>
  </si>
  <si>
    <t xml:space="preserve">Runner-up</t>
  </si>
  <si>
    <t xml:space="preserve">Golden Ball</t>
  </si>
  <si>
    <t xml:space="preserve">Copa America Centenario</t>
  </si>
  <si>
    <t xml:space="preserve">Round of 16</t>
  </si>
  <si>
    <t xml:space="preserve">Third place</t>
  </si>
  <si>
    <t xml:space="preserve">Champion</t>
  </si>
  <si>
    <t xml:space="preserve">Player of the Tournament</t>
  </si>
  <si>
    <t xml:space="preserve">TOTALS (major tournaments only)</t>
  </si>
  <si>
    <t xml:space="preserve">Trophies (Champion results)</t>
  </si>
  <si>
    <t xml:space="preserve">Creative Career Findings</t>
  </si>
  <si>
    <t xml:space="preserve">1. Share of career club goals scored at age 35+</t>
  </si>
  <si>
    <t xml:space="preserve">Contradicts the typical athletic decline curve</t>
  </si>
  <si>
    <t xml:space="preserve">2a. FC Barcelona — average goals per season</t>
  </si>
  <si>
    <t xml:space="preserve">2b. FC Barcelona — goals/season standard deviation</t>
  </si>
  <si>
    <t xml:space="preserve">Reference: B4 = average goals per season (above)</t>
  </si>
  <si>
    <t xml:space="preserve">2c. FC Barcelona — coefficient of variation (stdev / mean)</t>
  </si>
  <si>
    <t xml:space="preserve">Lower = more consistent output year to year, despite a 17-season span</t>
  </si>
  <si>
    <t xml:space="preserve">3a. FC Barcelona — goals per trophy</t>
  </si>
  <si>
    <t xml:space="preserve">Higher = took more goals to convert into silverware</t>
  </si>
  <si>
    <t xml:space="preserve">3b. Inter Miami CF — goals per trophy</t>
  </si>
  <si>
    <t xml:space="preserve">3c. Paris Saint-Germain — goals per trophy</t>
  </si>
  <si>
    <t xml:space="preserve">3d. Argentina (International) — goals per trophy</t>
  </si>
  <si>
    <t xml:space="preserve">Lowest of all four = his goals converted to trophies MOST efficiently for Argentina</t>
  </si>
  <si>
    <t xml:space="preserve">4a. Avg. assist share of goal contributions — early career (2004-08)</t>
  </si>
  <si>
    <t xml:space="preserve">Evolution from primary scorer to creator</t>
  </si>
  <si>
    <t xml:space="preserve">4b. Avg. assist share of goal contributions — final seasons (2024-26)</t>
  </si>
  <si>
    <t xml:space="preserve">5. Highest-scoring World Cup (year)</t>
  </si>
  <si>
    <t xml:space="preserve">His best World Cup by goals was his LAST one — 2026, age 39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</si>
</sst>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999999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4"/>
      <color rgb="FFA50044"/>
      <name val="Arial"/>
      <family val="0"/>
      <charset val="1"/>
    </font>
    <font>
      <b val="true"/>
      <sz val="11"/>
      <color rgb="FFA50044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50044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50044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Goals per Club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'Club Stats'!F1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'Club Stats'!$A$2:$A$24</c:f>
              <c:strCache>
                <c:ptCount val="23"/>
                <c:pt idx="0">
                  <c:v>2004-05</c:v>
                </c:pt>
                <c:pt idx="1">
                  <c:v>2005-06</c:v>
                </c:pt>
                <c:pt idx="2">
                  <c:v>2006-07</c:v>
                </c:pt>
                <c:pt idx="3">
                  <c:v>2007-08</c:v>
                </c:pt>
                <c:pt idx="4">
                  <c:v>2008-09</c:v>
                </c:pt>
                <c:pt idx="5">
                  <c:v>2009-10</c:v>
                </c:pt>
                <c:pt idx="6">
                  <c:v>2010-11</c:v>
                </c:pt>
                <c:pt idx="7">
                  <c:v>2011-12</c:v>
                </c:pt>
                <c:pt idx="8">
                  <c:v>2012-13</c:v>
                </c:pt>
                <c:pt idx="9">
                  <c:v>2013-14</c:v>
                </c:pt>
                <c:pt idx="10">
                  <c:v>2014-15</c:v>
                </c:pt>
                <c:pt idx="11">
                  <c:v>2015-16</c:v>
                </c:pt>
                <c:pt idx="12">
                  <c:v>2016-17</c:v>
                </c:pt>
                <c:pt idx="13">
                  <c:v>2017-18</c:v>
                </c:pt>
                <c:pt idx="14">
                  <c:v>2018-19</c:v>
                </c:pt>
                <c:pt idx="15">
                  <c:v>2019-20</c:v>
                </c:pt>
                <c:pt idx="16">
                  <c:v>2020-21</c:v>
                </c:pt>
                <c:pt idx="17">
                  <c:v>2021-22</c:v>
                </c:pt>
                <c:pt idx="18">
                  <c:v>2022-23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'Club Stats'!$F$2:$F$24</c:f>
              <c:numCache>
                <c:formatCode>General</c:formatCode>
                <c:ptCount val="23"/>
                <c:pt idx="0">
                  <c:v>1</c:v>
                </c:pt>
                <c:pt idx="1">
                  <c:v>8</c:v>
                </c:pt>
                <c:pt idx="2">
                  <c:v>17</c:v>
                </c:pt>
                <c:pt idx="3">
                  <c:v>16</c:v>
                </c:pt>
                <c:pt idx="4">
                  <c:v>38</c:v>
                </c:pt>
                <c:pt idx="5">
                  <c:v>47</c:v>
                </c:pt>
                <c:pt idx="6">
                  <c:v>53</c:v>
                </c:pt>
                <c:pt idx="7">
                  <c:v>73</c:v>
                </c:pt>
                <c:pt idx="8">
                  <c:v>60</c:v>
                </c:pt>
                <c:pt idx="9">
                  <c:v>41</c:v>
                </c:pt>
                <c:pt idx="10">
                  <c:v>58</c:v>
                </c:pt>
                <c:pt idx="11">
                  <c:v>41</c:v>
                </c:pt>
                <c:pt idx="12">
                  <c:v>54</c:v>
                </c:pt>
                <c:pt idx="13">
                  <c:v>45</c:v>
                </c:pt>
                <c:pt idx="14">
                  <c:v>51</c:v>
                </c:pt>
                <c:pt idx="15">
                  <c:v>31</c:v>
                </c:pt>
                <c:pt idx="16">
                  <c:v>38</c:v>
                </c:pt>
                <c:pt idx="17">
                  <c:v>11</c:v>
                </c:pt>
                <c:pt idx="18">
                  <c:v>21</c:v>
                </c:pt>
                <c:pt idx="19">
                  <c:v>11</c:v>
                </c:pt>
                <c:pt idx="20">
                  <c:v>20</c:v>
                </c:pt>
                <c:pt idx="21">
                  <c:v>27</c:v>
                </c:pt>
                <c:pt idx="22">
                  <c:v>18</c:v>
                </c:pt>
              </c:numCache>
            </c:numRef>
          </c:val>
        </c:ser>
        <c:gapWidth val="150"/>
        <c:overlap val="0"/>
        <c:axId val="11280385"/>
        <c:axId val="28904109"/>
      </c:barChart>
      <c:catAx>
        <c:axId val="112803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04109"/>
        <c:crosses val="autoZero"/>
        <c:auto val="1"/>
        <c:lblAlgn val="ctr"/>
        <c:lblOffset val="100"/>
        <c:noMultiLvlLbl val="0"/>
      </c:catAx>
      <c:valAx>
        <c:axId val="28904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Goals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803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Goals by Club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'Club Comparison'!D1</c:f>
              <c:strCache>
                <c:ptCount val="1"/>
                <c:pt idx="0">
                  <c:v>Total Goals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'Club Comparison'!$A$2:$A$4</c:f>
              <c:strCache>
                <c:ptCount val="3"/>
                <c:pt idx="0">
                  <c:v>FC Barcelona</c:v>
                </c:pt>
                <c:pt idx="1">
                  <c:v>Paris Saint-Germain</c:v>
                </c:pt>
                <c:pt idx="2">
                  <c:v>Inter Miami CF</c:v>
                </c:pt>
              </c:strCache>
            </c:strRef>
          </c:cat>
          <c:val>
            <c:numRef>
              <c:f>'Club Comparison'!$D$2:$D$4</c:f>
              <c:numCache>
                <c:formatCode>General</c:formatCode>
                <c:ptCount val="3"/>
                <c:pt idx="0">
                  <c:v>672</c:v>
                </c:pt>
                <c:pt idx="1">
                  <c:v>32</c:v>
                </c:pt>
                <c:pt idx="2">
                  <c:v>76</c:v>
                </c:pt>
              </c:numCache>
            </c:numRef>
          </c:val>
        </c:ser>
        <c:gapWidth val="150"/>
        <c:overlap val="0"/>
        <c:axId val="26298109"/>
        <c:axId val="8757606"/>
      </c:barChart>
      <c:catAx>
        <c:axId val="26298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7606"/>
        <c:crosses val="autoZero"/>
        <c:auto val="1"/>
        <c:lblAlgn val="ctr"/>
        <c:lblOffset val="100"/>
        <c:noMultiLvlLbl val="0"/>
      </c:catAx>
      <c:valAx>
        <c:axId val="8757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Goals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981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International Goals per Tournament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'International Stats'!E1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'International Stats'!$A$2:$A$15</c:f>
              <c:strCache>
                <c:ptCount val="14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2010</c:v>
                </c:pt>
                <c:pt idx="4">
                  <c:v>2011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2018</c:v>
                </c:pt>
                <c:pt idx="9">
                  <c:v>2019</c:v>
                </c:pt>
                <c:pt idx="10">
                  <c:v>2021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</c:strCache>
            </c:strRef>
          </c:cat>
          <c:val>
            <c:numRef>
              <c:f>'International Stats'!$E$2:$E$15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7</c:v>
                </c:pt>
                <c:pt idx="12">
                  <c:v>0</c:v>
                </c:pt>
                <c:pt idx="13">
                  <c:v>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659879"/>
        <c:axId val="8028805"/>
      </c:lineChart>
      <c:catAx>
        <c:axId val="50659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8805"/>
        <c:crosses val="autoZero"/>
        <c:auto val="1"/>
        <c:lblAlgn val="ctr"/>
        <c:lblOffset val="100"/>
        <c:noMultiLvlLbl val="0"/>
      </c:catAx>
      <c:valAx>
        <c:axId val="80288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Goals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598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34</xdr:row>
      <xdr:rowOff>0</xdr:rowOff>
    </xdr:from>
    <xdr:to>
      <xdr:col>9</xdr:col>
      <xdr:colOff>40320</xdr:colOff>
      <xdr:row>54</xdr:row>
      <xdr:rowOff>149760</xdr:rowOff>
    </xdr:to>
    <xdr:graphicFrame>
      <xdr:nvGraphicFramePr>
        <xdr:cNvPr id="0" name="Chart 1"/>
        <xdr:cNvGraphicFramePr/>
      </xdr:nvGraphicFramePr>
      <xdr:xfrm>
        <a:off x="0" y="647712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17</xdr:col>
      <xdr:colOff>256320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10690920" y="190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7</xdr:col>
      <xdr:colOff>166320</xdr:colOff>
      <xdr:row>41</xdr:row>
      <xdr:rowOff>170640</xdr:rowOff>
    </xdr:to>
    <xdr:graphicFrame>
      <xdr:nvGraphicFramePr>
        <xdr:cNvPr id="2" name="Chart 1"/>
        <xdr:cNvGraphicFramePr/>
      </xdr:nvGraphicFramePr>
      <xdr:xfrm>
        <a:off x="0" y="4381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n">
        <v>9</v>
      </c>
      <c r="F2" s="2" t="n">
        <v>1</v>
      </c>
      <c r="G2" s="2" t="n">
        <v>0</v>
      </c>
      <c r="H2" s="2" t="n">
        <v>1</v>
      </c>
      <c r="I2" s="2" t="n">
        <v>18</v>
      </c>
    </row>
    <row r="3" customFormat="false" ht="15" hidden="false" customHeight="false" outlineLevel="0" collapsed="false">
      <c r="A3" s="2" t="s">
        <v>13</v>
      </c>
      <c r="B3" s="2" t="s">
        <v>10</v>
      </c>
      <c r="C3" s="2" t="s">
        <v>11</v>
      </c>
      <c r="D3" s="2" t="s">
        <v>12</v>
      </c>
      <c r="E3" s="2" t="n">
        <v>25</v>
      </c>
      <c r="F3" s="2" t="n">
        <v>8</v>
      </c>
      <c r="G3" s="2" t="n">
        <v>2</v>
      </c>
      <c r="H3" s="2" t="n">
        <v>2</v>
      </c>
      <c r="I3" s="2" t="n">
        <v>19</v>
      </c>
    </row>
    <row r="4" customFormat="false" ht="15" hidden="false" customHeight="false" outlineLevel="0" collapsed="false">
      <c r="A4" s="2" t="s">
        <v>14</v>
      </c>
      <c r="B4" s="2" t="s">
        <v>10</v>
      </c>
      <c r="C4" s="2" t="s">
        <v>11</v>
      </c>
      <c r="D4" s="2" t="s">
        <v>12</v>
      </c>
      <c r="E4" s="2" t="n">
        <v>36</v>
      </c>
      <c r="F4" s="2" t="n">
        <v>17</v>
      </c>
      <c r="G4" s="2" t="n">
        <v>7</v>
      </c>
      <c r="H4" s="2" t="n">
        <v>0</v>
      </c>
      <c r="I4" s="2" t="n">
        <v>20</v>
      </c>
    </row>
    <row r="5" customFormat="false" ht="15" hidden="false" customHeight="false" outlineLevel="0" collapsed="false">
      <c r="A5" s="2" t="s">
        <v>15</v>
      </c>
      <c r="B5" s="2" t="s">
        <v>10</v>
      </c>
      <c r="C5" s="2" t="s">
        <v>11</v>
      </c>
      <c r="D5" s="2" t="s">
        <v>12</v>
      </c>
      <c r="E5" s="2" t="n">
        <v>40</v>
      </c>
      <c r="F5" s="2" t="n">
        <v>16</v>
      </c>
      <c r="G5" s="2" t="n">
        <v>9</v>
      </c>
      <c r="H5" s="2" t="n">
        <v>0</v>
      </c>
      <c r="I5" s="2" t="n">
        <v>21</v>
      </c>
    </row>
    <row r="6" customFormat="false" ht="15" hidden="false" customHeight="false" outlineLevel="0" collapsed="false">
      <c r="A6" s="2" t="s">
        <v>16</v>
      </c>
      <c r="B6" s="2" t="s">
        <v>10</v>
      </c>
      <c r="C6" s="2" t="s">
        <v>11</v>
      </c>
      <c r="D6" s="2" t="s">
        <v>12</v>
      </c>
      <c r="E6" s="2" t="n">
        <v>51</v>
      </c>
      <c r="F6" s="2" t="n">
        <v>38</v>
      </c>
      <c r="G6" s="2" t="n">
        <v>18</v>
      </c>
      <c r="H6" s="2" t="n">
        <v>3</v>
      </c>
      <c r="I6" s="2" t="n">
        <v>22</v>
      </c>
    </row>
    <row r="7" customFormat="false" ht="15" hidden="false" customHeight="false" outlineLevel="0" collapsed="false">
      <c r="A7" s="2" t="s">
        <v>17</v>
      </c>
      <c r="B7" s="2" t="s">
        <v>10</v>
      </c>
      <c r="C7" s="2" t="s">
        <v>11</v>
      </c>
      <c r="D7" s="2" t="s">
        <v>12</v>
      </c>
      <c r="E7" s="2" t="n">
        <v>53</v>
      </c>
      <c r="F7" s="2" t="n">
        <v>47</v>
      </c>
      <c r="G7" s="2" t="n">
        <v>11</v>
      </c>
      <c r="H7" s="2" t="n">
        <v>2</v>
      </c>
      <c r="I7" s="2" t="n">
        <v>23</v>
      </c>
    </row>
    <row r="8" customFormat="false" ht="15" hidden="false" customHeight="false" outlineLevel="0" collapsed="false">
      <c r="A8" s="2" t="s">
        <v>18</v>
      </c>
      <c r="B8" s="2" t="s">
        <v>10</v>
      </c>
      <c r="C8" s="2" t="s">
        <v>11</v>
      </c>
      <c r="D8" s="2" t="s">
        <v>12</v>
      </c>
      <c r="E8" s="2" t="n">
        <v>55</v>
      </c>
      <c r="F8" s="2" t="n">
        <v>53</v>
      </c>
      <c r="G8" s="2" t="n">
        <v>24</v>
      </c>
      <c r="H8" s="2" t="n">
        <v>3</v>
      </c>
      <c r="I8" s="2" t="n">
        <v>24</v>
      </c>
    </row>
    <row r="9" customFormat="false" ht="15" hidden="false" customHeight="false" outlineLevel="0" collapsed="false">
      <c r="A9" s="2" t="s">
        <v>19</v>
      </c>
      <c r="B9" s="2" t="s">
        <v>10</v>
      </c>
      <c r="C9" s="2" t="s">
        <v>11</v>
      </c>
      <c r="D9" s="2" t="s">
        <v>12</v>
      </c>
      <c r="E9" s="2" t="n">
        <v>60</v>
      </c>
      <c r="F9" s="2" t="n">
        <v>73</v>
      </c>
      <c r="G9" s="2" t="n">
        <v>29</v>
      </c>
      <c r="H9" s="2" t="n">
        <v>2</v>
      </c>
      <c r="I9" s="2" t="n">
        <v>25</v>
      </c>
    </row>
    <row r="10" customFormat="false" ht="15" hidden="false" customHeight="false" outlineLevel="0" collapsed="false">
      <c r="A10" s="2" t="s">
        <v>20</v>
      </c>
      <c r="B10" s="2" t="s">
        <v>10</v>
      </c>
      <c r="C10" s="2" t="s">
        <v>11</v>
      </c>
      <c r="D10" s="2" t="s">
        <v>12</v>
      </c>
      <c r="E10" s="2" t="n">
        <v>50</v>
      </c>
      <c r="F10" s="2" t="n">
        <v>60</v>
      </c>
      <c r="G10" s="2" t="n">
        <v>12</v>
      </c>
      <c r="H10" s="2" t="n">
        <v>1</v>
      </c>
      <c r="I10" s="2" t="n">
        <v>26</v>
      </c>
    </row>
    <row r="11" customFormat="false" ht="15" hidden="false" customHeight="false" outlineLevel="0" collapsed="false">
      <c r="A11" s="2" t="s">
        <v>21</v>
      </c>
      <c r="B11" s="2" t="s">
        <v>10</v>
      </c>
      <c r="C11" s="2" t="s">
        <v>11</v>
      </c>
      <c r="D11" s="2" t="s">
        <v>12</v>
      </c>
      <c r="E11" s="2" t="n">
        <v>46</v>
      </c>
      <c r="F11" s="2" t="n">
        <v>41</v>
      </c>
      <c r="G11" s="2" t="n">
        <v>16</v>
      </c>
      <c r="H11" s="2" t="n">
        <v>0</v>
      </c>
      <c r="I11" s="2" t="n">
        <v>27</v>
      </c>
    </row>
    <row r="12" customFormat="false" ht="15" hidden="false" customHeight="false" outlineLevel="0" collapsed="false">
      <c r="A12" s="2" t="s">
        <v>22</v>
      </c>
      <c r="B12" s="2" t="s">
        <v>10</v>
      </c>
      <c r="C12" s="2" t="s">
        <v>11</v>
      </c>
      <c r="D12" s="2" t="s">
        <v>12</v>
      </c>
      <c r="E12" s="2" t="n">
        <v>57</v>
      </c>
      <c r="F12" s="2" t="n">
        <v>58</v>
      </c>
      <c r="G12" s="2" t="n">
        <v>27</v>
      </c>
      <c r="H12" s="2" t="n">
        <v>3</v>
      </c>
      <c r="I12" s="2" t="n">
        <v>28</v>
      </c>
    </row>
    <row r="13" customFormat="false" ht="15" hidden="false" customHeight="false" outlineLevel="0" collapsed="false">
      <c r="A13" s="2" t="s">
        <v>23</v>
      </c>
      <c r="B13" s="2" t="s">
        <v>10</v>
      </c>
      <c r="C13" s="2" t="s">
        <v>11</v>
      </c>
      <c r="D13" s="2" t="s">
        <v>12</v>
      </c>
      <c r="E13" s="2" t="n">
        <v>49</v>
      </c>
      <c r="F13" s="2" t="n">
        <v>41</v>
      </c>
      <c r="G13" s="2" t="n">
        <v>18</v>
      </c>
      <c r="H13" s="2" t="n">
        <v>2</v>
      </c>
      <c r="I13" s="2" t="n">
        <v>29</v>
      </c>
    </row>
    <row r="14" customFormat="false" ht="15" hidden="false" customHeight="false" outlineLevel="0" collapsed="false">
      <c r="A14" s="2" t="s">
        <v>24</v>
      </c>
      <c r="B14" s="2" t="s">
        <v>10</v>
      </c>
      <c r="C14" s="2" t="s">
        <v>11</v>
      </c>
      <c r="D14" s="2" t="s">
        <v>12</v>
      </c>
      <c r="E14" s="2" t="n">
        <v>52</v>
      </c>
      <c r="F14" s="2" t="n">
        <v>54</v>
      </c>
      <c r="G14" s="2" t="n">
        <v>16</v>
      </c>
      <c r="H14" s="2" t="n">
        <v>0</v>
      </c>
      <c r="I14" s="2" t="n">
        <v>30</v>
      </c>
    </row>
    <row r="15" customFormat="false" ht="15" hidden="false" customHeight="false" outlineLevel="0" collapsed="false">
      <c r="A15" s="2" t="s">
        <v>25</v>
      </c>
      <c r="B15" s="2" t="s">
        <v>10</v>
      </c>
      <c r="C15" s="2" t="s">
        <v>11</v>
      </c>
      <c r="D15" s="2" t="s">
        <v>12</v>
      </c>
      <c r="E15" s="2" t="n">
        <v>54</v>
      </c>
      <c r="F15" s="2" t="n">
        <v>45</v>
      </c>
      <c r="G15" s="2" t="n">
        <v>18</v>
      </c>
      <c r="H15" s="2" t="n">
        <v>2</v>
      </c>
      <c r="I15" s="2" t="n">
        <v>31</v>
      </c>
    </row>
    <row r="16" customFormat="false" ht="15" hidden="false" customHeight="false" outlineLevel="0" collapsed="false">
      <c r="A16" s="2" t="s">
        <v>26</v>
      </c>
      <c r="B16" s="2" t="s">
        <v>10</v>
      </c>
      <c r="C16" s="2" t="s">
        <v>11</v>
      </c>
      <c r="D16" s="2" t="s">
        <v>12</v>
      </c>
      <c r="E16" s="2" t="n">
        <v>50</v>
      </c>
      <c r="F16" s="2" t="n">
        <v>51</v>
      </c>
      <c r="G16" s="2" t="n">
        <v>19</v>
      </c>
      <c r="H16" s="2" t="n">
        <v>2</v>
      </c>
      <c r="I16" s="2" t="n">
        <v>32</v>
      </c>
    </row>
    <row r="17" customFormat="false" ht="15" hidden="false" customHeight="false" outlineLevel="0" collapsed="false">
      <c r="A17" s="2" t="s">
        <v>27</v>
      </c>
      <c r="B17" s="2" t="s">
        <v>10</v>
      </c>
      <c r="C17" s="2" t="s">
        <v>11</v>
      </c>
      <c r="D17" s="2" t="s">
        <v>12</v>
      </c>
      <c r="E17" s="2" t="n">
        <v>44</v>
      </c>
      <c r="F17" s="2" t="n">
        <v>31</v>
      </c>
      <c r="G17" s="2" t="n">
        <v>25</v>
      </c>
      <c r="H17" s="2" t="n">
        <v>1</v>
      </c>
      <c r="I17" s="2" t="n">
        <v>33</v>
      </c>
    </row>
    <row r="18" customFormat="false" ht="15" hidden="false" customHeight="false" outlineLevel="0" collapsed="false">
      <c r="A18" s="2" t="s">
        <v>28</v>
      </c>
      <c r="B18" s="2" t="s">
        <v>10</v>
      </c>
      <c r="C18" s="2" t="s">
        <v>11</v>
      </c>
      <c r="D18" s="2" t="s">
        <v>12</v>
      </c>
      <c r="E18" s="2" t="n">
        <v>47</v>
      </c>
      <c r="F18" s="2" t="n">
        <v>38</v>
      </c>
      <c r="G18" s="2" t="n">
        <v>14</v>
      </c>
      <c r="H18" s="2" t="n">
        <v>1</v>
      </c>
      <c r="I18" s="2" t="n">
        <v>34</v>
      </c>
    </row>
    <row r="19" customFormat="false" ht="15" hidden="false" customHeight="false" outlineLevel="0" collapsed="false">
      <c r="A19" s="2" t="s">
        <v>29</v>
      </c>
      <c r="B19" s="2" t="s">
        <v>30</v>
      </c>
      <c r="C19" s="2" t="s">
        <v>11</v>
      </c>
      <c r="D19" s="2" t="s">
        <v>31</v>
      </c>
      <c r="E19" s="2" t="n">
        <v>34</v>
      </c>
      <c r="F19" s="2" t="n">
        <v>11</v>
      </c>
      <c r="G19" s="2" t="n">
        <v>15</v>
      </c>
      <c r="H19" s="2" t="n">
        <v>1</v>
      </c>
      <c r="I19" s="2" t="n">
        <v>35</v>
      </c>
    </row>
    <row r="20" customFormat="false" ht="15" hidden="false" customHeight="false" outlineLevel="0" collapsed="false">
      <c r="A20" s="2" t="s">
        <v>32</v>
      </c>
      <c r="B20" s="2" t="s">
        <v>30</v>
      </c>
      <c r="C20" s="2" t="s">
        <v>11</v>
      </c>
      <c r="D20" s="2" t="s">
        <v>31</v>
      </c>
      <c r="E20" s="2" t="n">
        <v>41</v>
      </c>
      <c r="F20" s="2" t="n">
        <v>21</v>
      </c>
      <c r="G20" s="2" t="n">
        <v>20</v>
      </c>
      <c r="H20" s="2" t="n">
        <v>1</v>
      </c>
      <c r="I20" s="2" t="n">
        <v>36</v>
      </c>
    </row>
    <row r="21" customFormat="false" ht="15" hidden="false" customHeight="false" outlineLevel="0" collapsed="false">
      <c r="A21" s="2" t="s">
        <v>33</v>
      </c>
      <c r="B21" s="2" t="s">
        <v>34</v>
      </c>
      <c r="C21" s="2" t="s">
        <v>11</v>
      </c>
      <c r="D21" s="2" t="s">
        <v>35</v>
      </c>
      <c r="E21" s="2" t="n">
        <v>14</v>
      </c>
      <c r="F21" s="2" t="n">
        <v>11</v>
      </c>
      <c r="G21" s="2" t="n">
        <v>5</v>
      </c>
      <c r="H21" s="2" t="n">
        <v>1</v>
      </c>
      <c r="I21" s="2" t="n">
        <v>36</v>
      </c>
    </row>
    <row r="22" customFormat="false" ht="15" hidden="false" customHeight="false" outlineLevel="0" collapsed="false">
      <c r="A22" s="2" t="s">
        <v>36</v>
      </c>
      <c r="B22" s="2" t="s">
        <v>34</v>
      </c>
      <c r="C22" s="2" t="s">
        <v>11</v>
      </c>
      <c r="D22" s="2" t="s">
        <v>35</v>
      </c>
      <c r="E22" s="2" t="n">
        <v>32</v>
      </c>
      <c r="F22" s="2" t="n">
        <v>20</v>
      </c>
      <c r="G22" s="2" t="n">
        <v>16</v>
      </c>
      <c r="H22" s="2" t="n">
        <v>1</v>
      </c>
      <c r="I22" s="2" t="n">
        <v>37</v>
      </c>
    </row>
    <row r="23" customFormat="false" ht="15" hidden="false" customHeight="false" outlineLevel="0" collapsed="false">
      <c r="A23" s="2" t="s">
        <v>37</v>
      </c>
      <c r="B23" s="2" t="s">
        <v>34</v>
      </c>
      <c r="C23" s="2" t="s">
        <v>11</v>
      </c>
      <c r="D23" s="2" t="s">
        <v>35</v>
      </c>
      <c r="E23" s="2" t="n">
        <v>28</v>
      </c>
      <c r="F23" s="2" t="n">
        <v>27</v>
      </c>
      <c r="G23" s="2" t="n">
        <v>15</v>
      </c>
      <c r="H23" s="2" t="n">
        <v>2</v>
      </c>
      <c r="I23" s="2" t="n">
        <v>38</v>
      </c>
    </row>
    <row r="24" customFormat="false" ht="15" hidden="false" customHeight="false" outlineLevel="0" collapsed="false">
      <c r="A24" s="2" t="s">
        <v>38</v>
      </c>
      <c r="B24" s="2" t="s">
        <v>34</v>
      </c>
      <c r="C24" s="2" t="s">
        <v>11</v>
      </c>
      <c r="D24" s="2" t="s">
        <v>35</v>
      </c>
      <c r="E24" s="2" t="n">
        <v>20</v>
      </c>
      <c r="F24" s="2" t="n">
        <v>18</v>
      </c>
      <c r="G24" s="2" t="n">
        <v>9</v>
      </c>
      <c r="H24" s="2" t="n">
        <v>0</v>
      </c>
      <c r="I24" s="2" t="n">
        <v>39</v>
      </c>
    </row>
    <row r="27" customFormat="false" ht="15" hidden="false" customHeight="false" outlineLevel="0" collapsed="false">
      <c r="A27" s="3" t="s">
        <v>39</v>
      </c>
    </row>
    <row r="28" customFormat="false" ht="15" hidden="false" customHeight="false" outlineLevel="0" collapsed="false">
      <c r="A28" s="4" t="s">
        <v>40</v>
      </c>
      <c r="B28" s="3" t="n">
        <f aca="false">SUM(F2:F24)</f>
        <v>780</v>
      </c>
    </row>
    <row r="29" customFormat="false" ht="15" hidden="false" customHeight="false" outlineLevel="0" collapsed="false">
      <c r="A29" s="4" t="s">
        <v>41</v>
      </c>
      <c r="B29" s="3" t="n">
        <f aca="false">SUM(G2:G24)</f>
        <v>345</v>
      </c>
    </row>
    <row r="30" customFormat="false" ht="15" hidden="false" customHeight="false" outlineLevel="0" collapsed="false">
      <c r="A30" s="4" t="s">
        <v>42</v>
      </c>
      <c r="B30" s="3" t="n">
        <f aca="false">SUM(E2:E24)</f>
        <v>947</v>
      </c>
    </row>
    <row r="31" customFormat="false" ht="15" hidden="false" customHeight="false" outlineLevel="0" collapsed="false">
      <c r="A31" s="4" t="s">
        <v>43</v>
      </c>
      <c r="B31" s="3" t="n">
        <f aca="false">SUM(H2:H24)</f>
        <v>31</v>
      </c>
    </row>
    <row r="32" customFormat="false" ht="15" hidden="false" customHeight="false" outlineLevel="0" collapsed="false">
      <c r="A32" s="4" t="s">
        <v>44</v>
      </c>
      <c r="B32" s="3" t="n">
        <f aca="false">ROUND(SUM(F2:F24)/SUM(E2:E24),2)</f>
        <v>0.82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  <col collapsed="false" customWidth="true" hidden="false" outlineLevel="0" max="6" min="6" style="0" width="23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1</v>
      </c>
      <c r="B1" s="1" t="s">
        <v>45</v>
      </c>
      <c r="C1" s="1" t="s">
        <v>42</v>
      </c>
      <c r="D1" s="1" t="s">
        <v>40</v>
      </c>
      <c r="E1" s="1" t="s">
        <v>41</v>
      </c>
      <c r="F1" s="1" t="s">
        <v>44</v>
      </c>
      <c r="G1" s="1" t="s">
        <v>43</v>
      </c>
    </row>
    <row r="2" customFormat="false" ht="15" hidden="false" customHeight="false" outlineLevel="0" collapsed="false">
      <c r="A2" s="2" t="s">
        <v>10</v>
      </c>
      <c r="B2" s="2" t="n">
        <f aca="false">COUNTIF('Club Stats'!B:B,A2)</f>
        <v>17</v>
      </c>
      <c r="C2" s="2" t="n">
        <f aca="false">SUMIF('Club Stats'!B:B,A2,'Club Stats'!E:E)</f>
        <v>778</v>
      </c>
      <c r="D2" s="2" t="n">
        <f aca="false">SUMIF('Club Stats'!B:B,A2,'Club Stats'!F:F)</f>
        <v>672</v>
      </c>
      <c r="E2" s="2" t="n">
        <f aca="false">SUMIF('Club Stats'!B:B,A2,'Club Stats'!G:G)</f>
        <v>265</v>
      </c>
      <c r="F2" s="2" t="n">
        <f aca="false">ROUND(D2/C2,2)</f>
        <v>0.86</v>
      </c>
      <c r="G2" s="2" t="n">
        <f aca="false">SUMIF('Club Stats'!B:B,A2,'Club Stats'!H:H)</f>
        <v>25</v>
      </c>
    </row>
    <row r="3" customFormat="false" ht="15" hidden="false" customHeight="false" outlineLevel="0" collapsed="false">
      <c r="A3" s="2" t="s">
        <v>30</v>
      </c>
      <c r="B3" s="2" t="n">
        <f aca="false">COUNTIF('Club Stats'!B:B,A3)</f>
        <v>2</v>
      </c>
      <c r="C3" s="2" t="n">
        <f aca="false">SUMIF('Club Stats'!B:B,A3,'Club Stats'!E:E)</f>
        <v>75</v>
      </c>
      <c r="D3" s="2" t="n">
        <f aca="false">SUMIF('Club Stats'!B:B,A3,'Club Stats'!F:F)</f>
        <v>32</v>
      </c>
      <c r="E3" s="2" t="n">
        <f aca="false">SUMIF('Club Stats'!B:B,A3,'Club Stats'!G:G)</f>
        <v>35</v>
      </c>
      <c r="F3" s="2" t="n">
        <f aca="false">ROUND(D3/C3,2)</f>
        <v>0.43</v>
      </c>
      <c r="G3" s="2" t="n">
        <f aca="false">SUMIF('Club Stats'!B:B,A3,'Club Stats'!H:H)</f>
        <v>2</v>
      </c>
    </row>
    <row r="4" customFormat="false" ht="15" hidden="false" customHeight="false" outlineLevel="0" collapsed="false">
      <c r="A4" s="2" t="s">
        <v>34</v>
      </c>
      <c r="B4" s="2" t="n">
        <f aca="false">COUNTIF('Club Stats'!B:B,A4)</f>
        <v>4</v>
      </c>
      <c r="C4" s="2" t="n">
        <f aca="false">SUMIF('Club Stats'!B:B,A4,'Club Stats'!E:E)</f>
        <v>94</v>
      </c>
      <c r="D4" s="2" t="n">
        <f aca="false">SUMIF('Club Stats'!B:B,A4,'Club Stats'!F:F)</f>
        <v>76</v>
      </c>
      <c r="E4" s="2" t="n">
        <f aca="false">SUMIF('Club Stats'!B:B,A4,'Club Stats'!G:G)</f>
        <v>45</v>
      </c>
      <c r="F4" s="2" t="n">
        <f aca="false">ROUND(D4/C4,2)</f>
        <v>0.81</v>
      </c>
      <c r="G4" s="2" t="n">
        <f aca="false">SUMIF('Club Stats'!B:B,A4,'Club Stats'!H:H)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7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</v>
      </c>
      <c r="E1" s="1" t="s">
        <v>5</v>
      </c>
      <c r="F1" s="1" t="s">
        <v>6</v>
      </c>
      <c r="G1" s="1" t="s">
        <v>49</v>
      </c>
      <c r="H1" s="5" t="s">
        <v>50</v>
      </c>
    </row>
    <row r="2" customFormat="false" ht="15" hidden="false" customHeight="false" outlineLevel="0" collapsed="false">
      <c r="A2" s="2" t="n">
        <v>2005</v>
      </c>
      <c r="B2" s="2" t="s">
        <v>51</v>
      </c>
      <c r="C2" s="2" t="s">
        <v>52</v>
      </c>
      <c r="D2" s="2" t="n">
        <v>4</v>
      </c>
      <c r="E2" s="2" t="n">
        <v>0</v>
      </c>
      <c r="F2" s="2" t="n">
        <v>0</v>
      </c>
      <c r="G2" s="2"/>
      <c r="H2" s="6" t="str">
        <f aca="false">IF(B2="FIFA World Cup",E2,"")</f>
        <v/>
      </c>
    </row>
    <row r="3" customFormat="false" ht="15" hidden="false" customHeight="false" outlineLevel="0" collapsed="false">
      <c r="A3" s="2" t="n">
        <v>2006</v>
      </c>
      <c r="B3" s="2" t="s">
        <v>53</v>
      </c>
      <c r="C3" s="2" t="s">
        <v>54</v>
      </c>
      <c r="D3" s="2" t="n">
        <v>3</v>
      </c>
      <c r="E3" s="2" t="n">
        <v>1</v>
      </c>
      <c r="F3" s="2" t="n">
        <v>0</v>
      </c>
      <c r="G3" s="2"/>
      <c r="H3" s="6" t="n">
        <f aca="false">IF(B3="FIFA World Cup",E3,"")</f>
        <v>1</v>
      </c>
    </row>
    <row r="4" customFormat="false" ht="15" hidden="false" customHeight="false" outlineLevel="0" collapsed="false">
      <c r="A4" s="2" t="n">
        <v>2007</v>
      </c>
      <c r="B4" s="2" t="s">
        <v>55</v>
      </c>
      <c r="C4" s="2" t="s">
        <v>56</v>
      </c>
      <c r="D4" s="2" t="n">
        <v>6</v>
      </c>
      <c r="E4" s="2" t="n">
        <v>2</v>
      </c>
      <c r="F4" s="2" t="n">
        <v>1</v>
      </c>
      <c r="G4" s="2"/>
      <c r="H4" s="6" t="str">
        <f aca="false">IF(B4="FIFA World Cup",E4,"")</f>
        <v/>
      </c>
    </row>
    <row r="5" customFormat="false" ht="15" hidden="false" customHeight="false" outlineLevel="0" collapsed="false">
      <c r="A5" s="2" t="n">
        <v>2010</v>
      </c>
      <c r="B5" s="2" t="s">
        <v>53</v>
      </c>
      <c r="C5" s="2" t="s">
        <v>54</v>
      </c>
      <c r="D5" s="2" t="n">
        <v>5</v>
      </c>
      <c r="E5" s="2" t="n">
        <v>0</v>
      </c>
      <c r="F5" s="2" t="n">
        <v>0</v>
      </c>
      <c r="G5" s="2"/>
      <c r="H5" s="6" t="n">
        <f aca="false">IF(B5="FIFA World Cup",E5,"")</f>
        <v>0</v>
      </c>
    </row>
    <row r="6" customFormat="false" ht="15" hidden="false" customHeight="false" outlineLevel="0" collapsed="false">
      <c r="A6" s="2" t="n">
        <v>2011</v>
      </c>
      <c r="B6" s="2" t="s">
        <v>55</v>
      </c>
      <c r="C6" s="2" t="s">
        <v>54</v>
      </c>
      <c r="D6" s="2" t="n">
        <v>4</v>
      </c>
      <c r="E6" s="2" t="n">
        <v>0</v>
      </c>
      <c r="F6" s="2" t="n">
        <v>0</v>
      </c>
      <c r="G6" s="2"/>
      <c r="H6" s="6" t="str">
        <f aca="false">IF(B6="FIFA World Cup",E6,"")</f>
        <v/>
      </c>
    </row>
    <row r="7" customFormat="false" ht="15" hidden="false" customHeight="false" outlineLevel="0" collapsed="false">
      <c r="A7" s="2" t="n">
        <v>2014</v>
      </c>
      <c r="B7" s="2" t="s">
        <v>53</v>
      </c>
      <c r="C7" s="2" t="s">
        <v>56</v>
      </c>
      <c r="D7" s="2" t="n">
        <v>7</v>
      </c>
      <c r="E7" s="2" t="n">
        <v>4</v>
      </c>
      <c r="F7" s="2" t="n">
        <v>1</v>
      </c>
      <c r="G7" s="2" t="s">
        <v>57</v>
      </c>
      <c r="H7" s="6" t="n">
        <f aca="false">IF(B7="FIFA World Cup",E7,"")</f>
        <v>4</v>
      </c>
    </row>
    <row r="8" customFormat="false" ht="15" hidden="false" customHeight="false" outlineLevel="0" collapsed="false">
      <c r="A8" s="2" t="n">
        <v>2015</v>
      </c>
      <c r="B8" s="2" t="s">
        <v>55</v>
      </c>
      <c r="C8" s="2" t="s">
        <v>56</v>
      </c>
      <c r="D8" s="2" t="n">
        <v>6</v>
      </c>
      <c r="E8" s="2" t="n">
        <v>1</v>
      </c>
      <c r="F8" s="2" t="n">
        <v>1</v>
      </c>
      <c r="G8" s="2"/>
      <c r="H8" s="6" t="str">
        <f aca="false">IF(B8="FIFA World Cup",E8,"")</f>
        <v/>
      </c>
    </row>
    <row r="9" customFormat="false" ht="15" hidden="false" customHeight="false" outlineLevel="0" collapsed="false">
      <c r="A9" s="2" t="n">
        <v>2016</v>
      </c>
      <c r="B9" s="2" t="s">
        <v>58</v>
      </c>
      <c r="C9" s="2" t="s">
        <v>56</v>
      </c>
      <c r="D9" s="2" t="n">
        <v>5</v>
      </c>
      <c r="E9" s="2" t="n">
        <v>5</v>
      </c>
      <c r="F9" s="2" t="n">
        <v>4</v>
      </c>
      <c r="G9" s="2"/>
      <c r="H9" s="6" t="str">
        <f aca="false">IF(B9="FIFA World Cup",E9,"")</f>
        <v/>
      </c>
    </row>
    <row r="10" customFormat="false" ht="15" hidden="false" customHeight="false" outlineLevel="0" collapsed="false">
      <c r="A10" s="2" t="n">
        <v>2018</v>
      </c>
      <c r="B10" s="2" t="s">
        <v>53</v>
      </c>
      <c r="C10" s="2" t="s">
        <v>59</v>
      </c>
      <c r="D10" s="2" t="n">
        <v>4</v>
      </c>
      <c r="E10" s="2" t="n">
        <v>1</v>
      </c>
      <c r="F10" s="2" t="n">
        <v>1</v>
      </c>
      <c r="G10" s="2"/>
      <c r="H10" s="6" t="n">
        <f aca="false">IF(B10="FIFA World Cup",E10,"")</f>
        <v>1</v>
      </c>
    </row>
    <row r="11" customFormat="false" ht="15" hidden="false" customHeight="false" outlineLevel="0" collapsed="false">
      <c r="A11" s="2" t="n">
        <v>2019</v>
      </c>
      <c r="B11" s="2" t="s">
        <v>55</v>
      </c>
      <c r="C11" s="2" t="s">
        <v>60</v>
      </c>
      <c r="D11" s="2" t="n">
        <v>5</v>
      </c>
      <c r="E11" s="2" t="n">
        <v>1</v>
      </c>
      <c r="F11" s="2" t="n">
        <v>1</v>
      </c>
      <c r="G11" s="2"/>
      <c r="H11" s="6" t="str">
        <f aca="false">IF(B11="FIFA World Cup",E11,"")</f>
        <v/>
      </c>
    </row>
    <row r="12" customFormat="false" ht="15" hidden="false" customHeight="false" outlineLevel="0" collapsed="false">
      <c r="A12" s="2" t="n">
        <v>2021</v>
      </c>
      <c r="B12" s="2" t="s">
        <v>55</v>
      </c>
      <c r="C12" s="2" t="s">
        <v>61</v>
      </c>
      <c r="D12" s="2" t="n">
        <v>7</v>
      </c>
      <c r="E12" s="2" t="n">
        <v>4</v>
      </c>
      <c r="F12" s="2" t="n">
        <v>5</v>
      </c>
      <c r="G12" s="2" t="s">
        <v>62</v>
      </c>
      <c r="H12" s="6" t="str">
        <f aca="false">IF(B12="FIFA World Cup",E12,"")</f>
        <v/>
      </c>
    </row>
    <row r="13" customFormat="false" ht="15" hidden="false" customHeight="false" outlineLevel="0" collapsed="false">
      <c r="A13" s="2" t="n">
        <v>2022</v>
      </c>
      <c r="B13" s="2" t="s">
        <v>53</v>
      </c>
      <c r="C13" s="2" t="s">
        <v>61</v>
      </c>
      <c r="D13" s="2" t="n">
        <v>7</v>
      </c>
      <c r="E13" s="2" t="n">
        <v>7</v>
      </c>
      <c r="F13" s="2" t="n">
        <v>3</v>
      </c>
      <c r="G13" s="2" t="s">
        <v>57</v>
      </c>
      <c r="H13" s="6" t="n">
        <f aca="false">IF(B13="FIFA World Cup",E13,"")</f>
        <v>7</v>
      </c>
    </row>
    <row r="14" customFormat="false" ht="15" hidden="false" customHeight="false" outlineLevel="0" collapsed="false">
      <c r="A14" s="2" t="n">
        <v>2024</v>
      </c>
      <c r="B14" s="2" t="s">
        <v>55</v>
      </c>
      <c r="C14" s="2" t="s">
        <v>61</v>
      </c>
      <c r="D14" s="2" t="n">
        <v>4</v>
      </c>
      <c r="E14" s="2" t="n">
        <v>0</v>
      </c>
      <c r="F14" s="2" t="n">
        <v>1</v>
      </c>
      <c r="G14" s="2"/>
      <c r="H14" s="6" t="str">
        <f aca="false">IF(B14="FIFA World Cup",E14,"")</f>
        <v/>
      </c>
    </row>
    <row r="15" customFormat="false" ht="15" hidden="false" customHeight="false" outlineLevel="0" collapsed="false">
      <c r="A15" s="2" t="n">
        <v>2026</v>
      </c>
      <c r="B15" s="2" t="s">
        <v>53</v>
      </c>
      <c r="C15" s="2" t="s">
        <v>56</v>
      </c>
      <c r="D15" s="2" t="n">
        <v>7</v>
      </c>
      <c r="E15" s="2" t="n">
        <v>8</v>
      </c>
      <c r="F15" s="2" t="n">
        <v>2</v>
      </c>
      <c r="G15" s="2"/>
      <c r="H15" s="6" t="n">
        <f aca="false">IF(B15="FIFA World Cup",E15,"")</f>
        <v>8</v>
      </c>
    </row>
    <row r="18" customFormat="false" ht="15" hidden="false" customHeight="false" outlineLevel="0" collapsed="false">
      <c r="A18" s="3" t="s">
        <v>63</v>
      </c>
    </row>
    <row r="19" customFormat="false" ht="15" hidden="false" customHeight="false" outlineLevel="0" collapsed="false">
      <c r="A19" s="4" t="s">
        <v>40</v>
      </c>
      <c r="B19" s="3" t="n">
        <f aca="false">SUM(E2:E15)</f>
        <v>34</v>
      </c>
    </row>
    <row r="20" customFormat="false" ht="15" hidden="false" customHeight="false" outlineLevel="0" collapsed="false">
      <c r="A20" s="4" t="s">
        <v>41</v>
      </c>
      <c r="B20" s="3" t="n">
        <f aca="false">SUM(F2:F15)</f>
        <v>20</v>
      </c>
    </row>
    <row r="21" customFormat="false" ht="15" hidden="false" customHeight="false" outlineLevel="0" collapsed="false">
      <c r="A21" s="4" t="s">
        <v>64</v>
      </c>
      <c r="B21" s="3" t="n">
        <f aca="false">COUNTIF(C2:C15,"Champion")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7" t="s">
        <v>65</v>
      </c>
    </row>
    <row r="3" customFormat="false" ht="15" hidden="false" customHeight="false" outlineLevel="0" collapsed="false">
      <c r="A3" s="3" t="s">
        <v>66</v>
      </c>
      <c r="B3" s="8" t="str">
        <f aca="false">ROUND(100*SUMIFS('Club Stats'!F:F,'Club Stats'!I:I,"&gt;=35")/SUM('Club Stats'!F:F),1)&amp;"%"</f>
        <v>13.8%</v>
      </c>
      <c r="C3" s="9" t="s">
        <v>67</v>
      </c>
    </row>
    <row r="4" customFormat="false" ht="15" hidden="false" customHeight="false" outlineLevel="0" collapsed="false">
      <c r="A4" s="3" t="s">
        <v>68</v>
      </c>
      <c r="B4" s="8" t="n">
        <f aca="false">ROUND(SUMIF('Club Stats'!B:B,"FC Barcelona",'Club Stats'!F:F)/COUNTIF('Club Stats'!B:B,"FC Barcelona"),1)</f>
        <v>39.5</v>
      </c>
      <c r="C4" s="9"/>
    </row>
    <row r="5" customFormat="false" ht="15" hidden="false" customHeight="false" outlineLevel="0" collapsed="false">
      <c r="A5" s="3" t="s">
        <v>69</v>
      </c>
      <c r="B5" s="8" t="n">
        <f aca="false">ROUND(SQRT(SUMPRODUCT(('Club Stats'!B2:B24="FC Barcelona")*('Club Stats'!F2:F24-B4)^2)/COUNTIF('Club Stats'!B:B,"FC Barcelona")),1)</f>
        <v>19</v>
      </c>
      <c r="C5" s="9" t="s">
        <v>70</v>
      </c>
    </row>
    <row r="6" customFormat="false" ht="15" hidden="false" customHeight="false" outlineLevel="0" collapsed="false">
      <c r="A6" s="3" t="s">
        <v>71</v>
      </c>
      <c r="B6" s="8" t="n">
        <f aca="false">ROUND(B5/B4,2)</f>
        <v>0.48</v>
      </c>
      <c r="C6" s="9" t="s">
        <v>72</v>
      </c>
    </row>
    <row r="7" customFormat="false" ht="15" hidden="false" customHeight="false" outlineLevel="0" collapsed="false">
      <c r="A7" s="3" t="s">
        <v>73</v>
      </c>
      <c r="B7" s="8" t="n">
        <f aca="false">ROUND(SUMIF('Club Stats'!B:B,"FC Barcelona",'Club Stats'!F:F)/SUMIF('Club Stats'!B:B,"FC Barcelona",'Club Stats'!H:H),1)</f>
        <v>26.9</v>
      </c>
      <c r="C7" s="9" t="s">
        <v>74</v>
      </c>
    </row>
    <row r="8" customFormat="false" ht="15" hidden="false" customHeight="false" outlineLevel="0" collapsed="false">
      <c r="A8" s="3" t="s">
        <v>75</v>
      </c>
      <c r="B8" s="8" t="n">
        <f aca="false">ROUND(SUMIF('Club Stats'!B:B,"Inter Miami CF",'Club Stats'!F:F)/SUMIF('Club Stats'!B:B,"Inter Miami CF",'Club Stats'!H:H),1)</f>
        <v>19</v>
      </c>
      <c r="C8" s="9"/>
    </row>
    <row r="9" customFormat="false" ht="15" hidden="false" customHeight="false" outlineLevel="0" collapsed="false">
      <c r="A9" s="3" t="s">
        <v>76</v>
      </c>
      <c r="B9" s="8" t="n">
        <f aca="false">ROUND(SUMIF('Club Stats'!B:B,"Paris Saint-Germain",'Club Stats'!F:F)/SUMIF('Club Stats'!B:B,"Paris Saint-Germain",'Club Stats'!H:H),1)</f>
        <v>16</v>
      </c>
      <c r="C9" s="9"/>
    </row>
    <row r="10" customFormat="false" ht="15" hidden="false" customHeight="false" outlineLevel="0" collapsed="false">
      <c r="A10" s="3" t="s">
        <v>77</v>
      </c>
      <c r="B10" s="8" t="n">
        <f aca="false">ROUND(SUM('International Stats'!E2:E15)/COUNTIF('International Stats'!C2:C15,"Champion"),1)</f>
        <v>11.3</v>
      </c>
      <c r="C10" s="9" t="s">
        <v>78</v>
      </c>
    </row>
    <row r="11" customFormat="false" ht="15" hidden="false" customHeight="false" outlineLevel="0" collapsed="false">
      <c r="A11" s="3" t="s">
        <v>79</v>
      </c>
      <c r="B11" s="8" t="str">
        <f aca="false">ROUND(100*SUMPRODUCT((('Club Stats'!A2:A24="2004-05")+('Club Stats'!A2:A24="2005-06")+('Club Stats'!A2:A24="2006-07")+('Club Stats'!A2:A24="2007-08"))*('Club Stats'!G2:G24/('Club Stats'!F2:F24+'Club Stats'!G2:G24)))/SUMPRODUCT((('Club Stats'!A2:A24="2004-05")+('Club Stats'!A2:A24="2005-06")+('Club Stats'!A2:A24="2006-07")+('Club Stats'!A2:A24="2007-08"))*1),1)&amp;"%"</f>
        <v>21.3%</v>
      </c>
      <c r="C11" s="9" t="s">
        <v>80</v>
      </c>
    </row>
    <row r="12" customFormat="false" ht="15" hidden="false" customHeight="false" outlineLevel="0" collapsed="false">
      <c r="A12" s="3" t="s">
        <v>81</v>
      </c>
      <c r="B12" s="8" t="str">
        <f aca="false">ROUND(100*SUMPRODUCT((('Club Stats'!A2:A24="2024")+('Club Stats'!A2:A24="2025")+('Club Stats'!A2:A24="2026"))*('Club Stats'!G2:G24/('Club Stats'!F2:F24+'Club Stats'!G2:G24)))/SUMPRODUCT((('Club Stats'!A2:A24="2024")+('Club Stats'!A2:A24="2025")+('Club Stats'!A2:A24="2026"))*1),1)&amp;"%"</f>
        <v>37.8%</v>
      </c>
      <c r="C12" s="9"/>
    </row>
    <row r="13" customFormat="false" ht="15" hidden="false" customHeight="false" outlineLevel="0" collapsed="false">
      <c r="A13" s="3" t="s">
        <v>82</v>
      </c>
      <c r="B13" s="8" t="n">
        <f aca="false">INDEX('International Stats'!A2:A15,MATCH(MAX('International Stats'!H2:H15),'International Stats'!H2:H15,0))</f>
        <v>2026</v>
      </c>
      <c r="C13" s="9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2026-09-01T01:04:13Z</dcterms:created>
  <dc:creator>openpyxl</dc:creator>
  <dc:description/>
  <dc:language>en-US</dc:language>
  <cp:lastModifiedBy/>
  <dcterms:modified xsi:type="dcterms:W3CDTF">2026-09-01T01:04:15Z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